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ownf\suneung-viewer\"/>
    </mc:Choice>
  </mc:AlternateContent>
  <xr:revisionPtr revIDLastSave="0" documentId="13_ncr:1_{7B94EA2D-658B-419D-83C5-FF4A9AA0D4F5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일별 퍼널" sheetId="1" r:id="rId1"/>
    <sheet name="게시물별 반응" sheetId="2" r:id="rId2"/>
    <sheet name="7일 판정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1" i="2" l="1"/>
  <c r="J11" i="2"/>
  <c r="K10" i="2"/>
  <c r="J10" i="2"/>
  <c r="K9" i="2"/>
  <c r="J9" i="2"/>
  <c r="K8" i="2"/>
  <c r="J8" i="2"/>
  <c r="K7" i="2"/>
  <c r="J7" i="2"/>
  <c r="K6" i="2"/>
  <c r="J6" i="2"/>
  <c r="K5" i="2"/>
  <c r="J5" i="2"/>
  <c r="G12" i="1"/>
  <c r="F12" i="1"/>
  <c r="B5" i="3" s="1"/>
  <c r="E12" i="1"/>
  <c r="D12" i="1"/>
  <c r="C12" i="1"/>
  <c r="B6" i="3" s="1"/>
  <c r="B12" i="1"/>
  <c r="B3" i="3" s="1"/>
  <c r="H11" i="1"/>
  <c r="H10" i="1"/>
  <c r="H9" i="1"/>
  <c r="H8" i="1"/>
  <c r="H7" i="1"/>
  <c r="H6" i="1"/>
  <c r="H5" i="1"/>
  <c r="H12" i="1" l="1"/>
  <c r="B4" i="3"/>
</calcChain>
</file>

<file path=xl/sharedStrings.xml><?xml version="1.0" encoding="utf-8"?>
<sst xmlns="http://schemas.openxmlformats.org/spreadsheetml/2006/main" count="66" uniqueCount="62">
  <si>
    <r>
      <rPr>
        <b/>
        <sz val="13"/>
        <rFont val="Arial"/>
        <family val="2"/>
      </rPr>
      <t xml:space="preserve">JIPPI </t>
    </r>
    <r>
      <rPr>
        <b/>
        <sz val="13"/>
        <rFont val="Noto Sans CJK SC"/>
        <family val="2"/>
      </rPr>
      <t xml:space="preserve">일별 퍼널 트래커 </t>
    </r>
    <r>
      <rPr>
        <b/>
        <sz val="13"/>
        <rFont val="Arial"/>
        <family val="2"/>
      </rPr>
      <t>(</t>
    </r>
    <r>
      <rPr>
        <b/>
        <sz val="13"/>
        <rFont val="Noto Sans CJK SC"/>
        <family val="2"/>
      </rPr>
      <t>수기 기록</t>
    </r>
    <r>
      <rPr>
        <b/>
        <sz val="13"/>
        <rFont val="Arial"/>
        <family val="2"/>
      </rPr>
      <t>)</t>
    </r>
  </si>
  <si>
    <r>
      <rPr>
        <i/>
        <sz val="9"/>
        <color rgb="FF666666"/>
        <rFont val="Noto Sans CJK SC"/>
        <family val="2"/>
      </rPr>
      <t xml:space="preserve">매일 밤 인스타 인사이트 </t>
    </r>
    <r>
      <rPr>
        <i/>
        <sz val="9"/>
        <color rgb="FF666666"/>
        <rFont val="Arial"/>
        <family val="2"/>
      </rPr>
      <t xml:space="preserve">+ jippi.kr/tarot·/fortune </t>
    </r>
    <r>
      <rPr>
        <i/>
        <sz val="9"/>
        <color rgb="FF666666"/>
        <rFont val="Noto Sans CJK SC"/>
        <family val="2"/>
      </rPr>
      <t>지표를 파란 칸에 입력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Noto Sans CJK SC"/>
        <family val="2"/>
      </rPr>
      <t>회색 칸</t>
    </r>
    <r>
      <rPr>
        <i/>
        <sz val="9"/>
        <color rgb="FF666666"/>
        <rFont val="Arial"/>
        <family val="2"/>
      </rPr>
      <t>(</t>
    </r>
    <r>
      <rPr>
        <i/>
        <sz val="9"/>
        <color rgb="FF666666"/>
        <rFont val="Noto Sans CJK SC"/>
        <family val="2"/>
      </rPr>
      <t>전환율</t>
    </r>
    <r>
      <rPr>
        <i/>
        <sz val="9"/>
        <color rgb="FF666666"/>
        <rFont val="Arial"/>
        <family val="2"/>
      </rPr>
      <t>)</t>
    </r>
    <r>
      <rPr>
        <i/>
        <sz val="9"/>
        <color rgb="FF666666"/>
        <rFont val="Noto Sans CJK SC"/>
        <family val="2"/>
      </rPr>
      <t>은 자동계산</t>
    </r>
    <r>
      <rPr>
        <i/>
        <sz val="9"/>
        <color rgb="FF666666"/>
        <rFont val="Arial"/>
        <family val="2"/>
      </rPr>
      <t>.</t>
    </r>
  </si>
  <si>
    <t>날짜</t>
  </si>
  <si>
    <r>
      <rPr>
        <b/>
        <sz val="11"/>
        <color rgb="FFFFFFFF"/>
        <rFont val="Arial"/>
        <family val="2"/>
      </rPr>
      <t xml:space="preserve">/tarot </t>
    </r>
    <r>
      <rPr>
        <b/>
        <sz val="11"/>
        <color rgb="FFFFFFFF"/>
        <rFont val="Noto Sans CJK SC"/>
        <family val="2"/>
      </rPr>
      <t>방문</t>
    </r>
  </si>
  <si>
    <t>카드 뽑기</t>
  </si>
  <si>
    <r>
      <rPr>
        <b/>
        <sz val="11"/>
        <color rgb="FFFFFFFF"/>
        <rFont val="Arial"/>
        <family val="2"/>
      </rPr>
      <t xml:space="preserve">CTA </t>
    </r>
    <r>
      <rPr>
        <b/>
        <sz val="11"/>
        <color rgb="FFFFFFFF"/>
        <rFont val="Noto Sans CJK SC"/>
        <family val="2"/>
      </rPr>
      <t>클릭</t>
    </r>
  </si>
  <si>
    <r>
      <rPr>
        <b/>
        <sz val="11"/>
        <color rgb="FFFFFFFF"/>
        <rFont val="Arial"/>
        <family val="2"/>
      </rPr>
      <t xml:space="preserve">/fortune </t>
    </r>
    <r>
      <rPr>
        <b/>
        <sz val="11"/>
        <color rgb="FFFFFFFF"/>
        <rFont val="Noto Sans CJK SC"/>
        <family val="2"/>
      </rPr>
      <t>도달</t>
    </r>
  </si>
  <si>
    <t>주문</t>
  </si>
  <si>
    <t>발송</t>
  </si>
  <si>
    <r>
      <rPr>
        <b/>
        <sz val="11"/>
        <color rgb="FFFFFFFF"/>
        <rFont val="Noto Sans CJK SC"/>
        <family val="2"/>
      </rPr>
      <t xml:space="preserve">전환율
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주문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뽑기</t>
    </r>
    <r>
      <rPr>
        <b/>
        <sz val="11"/>
        <color rgb="FFFFFFFF"/>
        <rFont val="Arial"/>
        <family val="2"/>
      </rPr>
      <t>)</t>
    </r>
  </si>
  <si>
    <t>메모</t>
  </si>
  <si>
    <r>
      <rPr>
        <b/>
        <sz val="11"/>
        <rFont val="Arial"/>
        <family val="2"/>
      </rPr>
      <t>7/6(</t>
    </r>
    <r>
      <rPr>
        <b/>
        <sz val="11"/>
        <rFont val="Noto Sans CJK SC"/>
        <family val="2"/>
      </rPr>
      <t>월</t>
    </r>
    <r>
      <rPr>
        <b/>
        <sz val="11"/>
        <rFont val="Arial"/>
        <family val="2"/>
      </rPr>
      <t>)</t>
    </r>
  </si>
  <si>
    <r>
      <rPr>
        <b/>
        <sz val="11"/>
        <rFont val="Arial"/>
        <family val="2"/>
      </rPr>
      <t>7/7(</t>
    </r>
    <r>
      <rPr>
        <b/>
        <sz val="11"/>
        <rFont val="Noto Sans CJK SC"/>
        <family val="2"/>
      </rPr>
      <t>화</t>
    </r>
    <r>
      <rPr>
        <b/>
        <sz val="11"/>
        <rFont val="Arial"/>
        <family val="2"/>
      </rPr>
      <t>)</t>
    </r>
  </si>
  <si>
    <r>
      <rPr>
        <b/>
        <sz val="11"/>
        <rFont val="Arial"/>
        <family val="2"/>
      </rPr>
      <t>7/8(</t>
    </r>
    <r>
      <rPr>
        <b/>
        <sz val="11"/>
        <rFont val="Noto Sans CJK SC"/>
        <family val="2"/>
      </rPr>
      <t>수</t>
    </r>
    <r>
      <rPr>
        <b/>
        <sz val="11"/>
        <rFont val="Arial"/>
        <family val="2"/>
      </rPr>
      <t>)</t>
    </r>
  </si>
  <si>
    <r>
      <rPr>
        <b/>
        <sz val="11"/>
        <rFont val="Arial"/>
        <family val="2"/>
      </rPr>
      <t>7/9(</t>
    </r>
    <r>
      <rPr>
        <b/>
        <sz val="11"/>
        <rFont val="Noto Sans CJK SC"/>
        <family val="2"/>
      </rPr>
      <t>목</t>
    </r>
    <r>
      <rPr>
        <b/>
        <sz val="11"/>
        <rFont val="Arial"/>
        <family val="2"/>
      </rPr>
      <t>)</t>
    </r>
  </si>
  <si>
    <r>
      <rPr>
        <b/>
        <sz val="11"/>
        <rFont val="Arial"/>
        <family val="2"/>
      </rPr>
      <t>7/10(</t>
    </r>
    <r>
      <rPr>
        <b/>
        <sz val="11"/>
        <rFont val="Noto Sans CJK SC"/>
        <family val="2"/>
      </rPr>
      <t>금</t>
    </r>
    <r>
      <rPr>
        <b/>
        <sz val="11"/>
        <rFont val="Arial"/>
        <family val="2"/>
      </rPr>
      <t>)</t>
    </r>
  </si>
  <si>
    <r>
      <rPr>
        <b/>
        <sz val="11"/>
        <rFont val="Arial"/>
        <family val="2"/>
      </rPr>
      <t>7/11(</t>
    </r>
    <r>
      <rPr>
        <b/>
        <sz val="11"/>
        <rFont val="Noto Sans CJK SC"/>
        <family val="2"/>
      </rPr>
      <t>토</t>
    </r>
    <r>
      <rPr>
        <b/>
        <sz val="11"/>
        <rFont val="Arial"/>
        <family val="2"/>
      </rPr>
      <t>)</t>
    </r>
  </si>
  <si>
    <r>
      <rPr>
        <b/>
        <sz val="11"/>
        <rFont val="Arial"/>
        <family val="2"/>
      </rPr>
      <t>7/12(</t>
    </r>
    <r>
      <rPr>
        <b/>
        <sz val="11"/>
        <rFont val="Noto Sans CJK SC"/>
        <family val="2"/>
      </rPr>
      <t>일</t>
    </r>
    <r>
      <rPr>
        <b/>
        <sz val="11"/>
        <rFont val="Arial"/>
        <family val="2"/>
      </rPr>
      <t>)</t>
    </r>
  </si>
  <si>
    <r>
      <rPr>
        <b/>
        <sz val="11"/>
        <rFont val="Noto Sans CJK SC"/>
        <family val="2"/>
      </rPr>
      <t>합계</t>
    </r>
    <r>
      <rPr>
        <b/>
        <sz val="11"/>
        <rFont val="Arial"/>
        <family val="2"/>
      </rPr>
      <t>/</t>
    </r>
    <r>
      <rPr>
        <b/>
        <sz val="11"/>
        <rFont val="Noto Sans CJK SC"/>
        <family val="2"/>
      </rPr>
      <t>평균</t>
    </r>
  </si>
  <si>
    <r>
      <rPr>
        <b/>
        <sz val="13"/>
        <rFont val="Noto Sans CJK SC"/>
        <family val="2"/>
      </rPr>
      <t xml:space="preserve">게시물별 반응 </t>
    </r>
    <r>
      <rPr>
        <b/>
        <sz val="13"/>
        <rFont val="Arial"/>
        <family val="2"/>
      </rPr>
      <t>(</t>
    </r>
    <r>
      <rPr>
        <b/>
        <sz val="13"/>
        <rFont val="Noto Sans CJK SC"/>
        <family val="2"/>
      </rPr>
      <t>이긴 크리에이티브 판정용</t>
    </r>
    <r>
      <rPr>
        <b/>
        <sz val="13"/>
        <rFont val="Arial"/>
        <family val="2"/>
      </rPr>
      <t>)</t>
    </r>
  </si>
  <si>
    <r>
      <rPr>
        <i/>
        <sz val="9"/>
        <color rgb="FF666666"/>
        <rFont val="Noto Sans CJK SC"/>
        <family val="2"/>
      </rPr>
      <t>게시물마다 도달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저장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공유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프로필클릭 입력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Noto Sans CJK SC"/>
        <family val="2"/>
      </rPr>
      <t>저장률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공유율 자동계산 → 높은 게 이긴 각도</t>
    </r>
    <r>
      <rPr>
        <i/>
        <sz val="9"/>
        <color rgb="FF666666"/>
        <rFont val="Arial"/>
        <family val="2"/>
      </rPr>
      <t>.</t>
    </r>
  </si>
  <si>
    <t>게시일</t>
  </si>
  <si>
    <t>채널</t>
  </si>
  <si>
    <t>콘텐츠</t>
  </si>
  <si>
    <t>도달</t>
  </si>
  <si>
    <t>저장</t>
  </si>
  <si>
    <t>공유</t>
  </si>
  <si>
    <t>댓글</t>
  </si>
  <si>
    <t>프로필 클릭</t>
  </si>
  <si>
    <t>링크 클릭</t>
  </si>
  <si>
    <t>저장률</t>
  </si>
  <si>
    <t>공유율</t>
  </si>
  <si>
    <t>7/6</t>
  </si>
  <si>
    <t>인스타 피드</t>
  </si>
  <si>
    <r>
      <rPr>
        <b/>
        <sz val="11"/>
        <rFont val="Noto Sans CJK SC"/>
        <family val="2"/>
      </rPr>
      <t>카드</t>
    </r>
    <r>
      <rPr>
        <b/>
        <sz val="11"/>
        <rFont val="Arial"/>
        <family val="2"/>
      </rPr>
      <t>1 3</t>
    </r>
    <r>
      <rPr>
        <b/>
        <sz val="11"/>
        <rFont val="Noto Sans CJK SC"/>
        <family val="2"/>
      </rPr>
      <t>초타로</t>
    </r>
  </si>
  <si>
    <t>7/7</t>
  </si>
  <si>
    <r>
      <rPr>
        <sz val="11"/>
        <color rgb="FF000000"/>
        <rFont val="Noto Sans CJK SC"/>
        <family val="2"/>
      </rPr>
      <t>스레드</t>
    </r>
    <r>
      <rPr>
        <sz val="11"/>
        <color rgb="FF000000"/>
        <rFont val="Arial"/>
        <family val="2"/>
      </rPr>
      <t>/X</t>
    </r>
  </si>
  <si>
    <r>
      <rPr>
        <b/>
        <sz val="11"/>
        <rFont val="Noto Sans CJK SC"/>
        <family val="2"/>
      </rPr>
      <t xml:space="preserve">훅 </t>
    </r>
    <r>
      <rPr>
        <b/>
        <sz val="11"/>
        <rFont val="Arial"/>
        <family val="2"/>
      </rPr>
      <t>T1</t>
    </r>
  </si>
  <si>
    <t>7/8</t>
  </si>
  <si>
    <r>
      <rPr>
        <b/>
        <sz val="11"/>
        <rFont val="Noto Sans CJK SC"/>
        <family val="2"/>
      </rPr>
      <t>카드</t>
    </r>
    <r>
      <rPr>
        <b/>
        <sz val="11"/>
        <rFont val="Arial"/>
        <family val="2"/>
      </rPr>
      <t xml:space="preserve">2 </t>
    </r>
    <r>
      <rPr>
        <b/>
        <sz val="11"/>
        <rFont val="Noto Sans CJK SC"/>
        <family val="2"/>
      </rPr>
      <t>겁주는운세말고</t>
    </r>
  </si>
  <si>
    <t>7/9</t>
  </si>
  <si>
    <r>
      <rPr>
        <b/>
        <sz val="11"/>
        <rFont val="Noto Sans CJK SC"/>
        <family val="2"/>
      </rPr>
      <t xml:space="preserve">훅 </t>
    </r>
    <r>
      <rPr>
        <b/>
        <sz val="11"/>
        <rFont val="Arial"/>
        <family val="2"/>
      </rPr>
      <t>T2</t>
    </r>
  </si>
  <si>
    <t>7/10</t>
  </si>
  <si>
    <r>
      <rPr>
        <b/>
        <sz val="11"/>
        <rFont val="Noto Sans CJK SC"/>
        <family val="2"/>
      </rPr>
      <t>카드</t>
    </r>
    <r>
      <rPr>
        <b/>
        <sz val="11"/>
        <rFont val="Arial"/>
        <family val="2"/>
      </rPr>
      <t xml:space="preserve">3 </t>
    </r>
    <r>
      <rPr>
        <b/>
        <sz val="11"/>
        <rFont val="Noto Sans CJK SC"/>
        <family val="2"/>
      </rPr>
      <t>연애</t>
    </r>
    <r>
      <rPr>
        <b/>
        <sz val="11"/>
        <rFont val="Arial"/>
        <family val="2"/>
      </rPr>
      <t>3</t>
    </r>
    <r>
      <rPr>
        <b/>
        <sz val="11"/>
        <rFont val="Noto Sans CJK SC"/>
        <family val="2"/>
      </rPr>
      <t>장</t>
    </r>
  </si>
  <si>
    <t>7/11</t>
  </si>
  <si>
    <r>
      <rPr>
        <b/>
        <sz val="11"/>
        <rFont val="Noto Sans CJK SC"/>
        <family val="2"/>
      </rPr>
      <t xml:space="preserve">훅 </t>
    </r>
    <r>
      <rPr>
        <b/>
        <sz val="11"/>
        <rFont val="Arial"/>
        <family val="2"/>
      </rPr>
      <t>T3</t>
    </r>
  </si>
  <si>
    <t>7/12</t>
  </si>
  <si>
    <t>인스타 릴스</t>
  </si>
  <si>
    <r>
      <rPr>
        <b/>
        <sz val="11"/>
        <rFont val="Arial"/>
        <family val="2"/>
      </rPr>
      <t>R1 3</t>
    </r>
    <r>
      <rPr>
        <b/>
        <sz val="11"/>
        <rFont val="Noto Sans CJK SC"/>
        <family val="2"/>
      </rPr>
      <t>초타로 릴스</t>
    </r>
  </si>
  <si>
    <r>
      <rPr>
        <b/>
        <sz val="13"/>
        <rFont val="Arial"/>
        <family val="2"/>
      </rPr>
      <t>7</t>
    </r>
    <r>
      <rPr>
        <b/>
        <sz val="13"/>
        <rFont val="Noto Sans CJK SC"/>
        <family val="2"/>
      </rPr>
      <t xml:space="preserve">일 후 판정 </t>
    </r>
    <r>
      <rPr>
        <b/>
        <sz val="13"/>
        <rFont val="Arial"/>
        <family val="2"/>
      </rPr>
      <t>(</t>
    </r>
    <r>
      <rPr>
        <b/>
        <sz val="13"/>
        <rFont val="Noto Sans CJK SC"/>
        <family val="2"/>
      </rPr>
      <t>유료 전환 근거</t>
    </r>
    <r>
      <rPr>
        <b/>
        <sz val="13"/>
        <rFont val="Arial"/>
        <family val="2"/>
      </rPr>
      <t>)</t>
    </r>
  </si>
  <si>
    <r>
      <rPr>
        <b/>
        <sz val="11"/>
        <rFont val="Noto Sans CJK SC"/>
        <family val="2"/>
      </rPr>
      <t xml:space="preserve">총 </t>
    </r>
    <r>
      <rPr>
        <b/>
        <sz val="11"/>
        <rFont val="Arial"/>
        <family val="2"/>
      </rPr>
      <t xml:space="preserve">/tarot </t>
    </r>
    <r>
      <rPr>
        <b/>
        <sz val="11"/>
        <rFont val="Noto Sans CJK SC"/>
        <family val="2"/>
      </rPr>
      <t>방문</t>
    </r>
  </si>
  <si>
    <t>총 카드 뽑기</t>
  </si>
  <si>
    <t>총 주문</t>
  </si>
  <si>
    <r>
      <rPr>
        <b/>
        <sz val="11"/>
        <rFont val="Noto Sans CJK SC"/>
        <family val="2"/>
      </rPr>
      <t xml:space="preserve">전체 전환율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주문</t>
    </r>
    <r>
      <rPr>
        <b/>
        <sz val="11"/>
        <rFont val="Arial"/>
        <family val="2"/>
      </rPr>
      <t>/</t>
    </r>
    <r>
      <rPr>
        <b/>
        <sz val="11"/>
        <rFont val="Noto Sans CJK SC"/>
        <family val="2"/>
      </rPr>
      <t>뽑기</t>
    </r>
    <r>
      <rPr>
        <b/>
        <sz val="11"/>
        <rFont val="Arial"/>
        <family val="2"/>
      </rPr>
      <t>)</t>
    </r>
  </si>
  <si>
    <r>
      <rPr>
        <b/>
        <sz val="12"/>
        <rFont val="Noto Sans CJK SC"/>
        <family val="2"/>
      </rPr>
      <t xml:space="preserve">판정 </t>
    </r>
    <r>
      <rPr>
        <b/>
        <sz val="12"/>
        <rFont val="Arial"/>
        <family val="2"/>
      </rPr>
      <t>(</t>
    </r>
    <r>
      <rPr>
        <b/>
        <sz val="12"/>
        <rFont val="Noto Sans CJK SC"/>
        <family val="2"/>
      </rPr>
      <t>수기 작성</t>
    </r>
    <r>
      <rPr>
        <b/>
        <sz val="12"/>
        <rFont val="Arial"/>
        <family val="2"/>
      </rPr>
      <t>)</t>
    </r>
  </si>
  <si>
    <r>
      <rPr>
        <b/>
        <sz val="11"/>
        <rFont val="Noto Sans CJK SC"/>
        <family val="2"/>
      </rPr>
      <t xml:space="preserve">이긴 각도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저장</t>
    </r>
    <r>
      <rPr>
        <b/>
        <sz val="11"/>
        <rFont val="Arial"/>
        <family val="2"/>
      </rPr>
      <t>·</t>
    </r>
    <r>
      <rPr>
        <b/>
        <sz val="11"/>
        <rFont val="Noto Sans CJK SC"/>
        <family val="2"/>
      </rPr>
      <t>공유</t>
    </r>
    <r>
      <rPr>
        <b/>
        <sz val="11"/>
        <rFont val="Arial"/>
        <family val="2"/>
      </rPr>
      <t>·</t>
    </r>
    <r>
      <rPr>
        <b/>
        <sz val="11"/>
        <rFont val="Noto Sans CJK SC"/>
        <family val="2"/>
      </rPr>
      <t>전환 상위</t>
    </r>
    <r>
      <rPr>
        <b/>
        <sz val="11"/>
        <rFont val="Arial"/>
        <family val="2"/>
      </rPr>
      <t>)</t>
    </r>
  </si>
  <si>
    <r>
      <rPr>
        <sz val="11"/>
        <color rgb="FF0000FF"/>
        <rFont val="Arial"/>
        <family val="2"/>
      </rPr>
      <t>(</t>
    </r>
    <r>
      <rPr>
        <sz val="11"/>
        <color rgb="FF0000FF"/>
        <rFont val="Noto Sans CJK SC"/>
        <family val="2"/>
      </rPr>
      <t>예</t>
    </r>
    <r>
      <rPr>
        <sz val="11"/>
        <color rgb="FF0000FF"/>
        <rFont val="Arial"/>
        <family val="2"/>
      </rPr>
      <t xml:space="preserve">: </t>
    </r>
    <r>
      <rPr>
        <sz val="11"/>
        <color rgb="FF0000FF"/>
        <rFont val="Noto Sans CJK SC"/>
        <family val="2"/>
      </rPr>
      <t>카드</t>
    </r>
    <r>
      <rPr>
        <sz val="11"/>
        <color rgb="FF0000FF"/>
        <rFont val="Arial"/>
        <family val="2"/>
      </rPr>
      <t xml:space="preserve">2 </t>
    </r>
    <r>
      <rPr>
        <sz val="11"/>
        <color rgb="FF0000FF"/>
        <rFont val="Noto Sans CJK SC"/>
        <family val="2"/>
      </rPr>
      <t>겁주는운세말고 — 저장률 최고</t>
    </r>
    <r>
      <rPr>
        <sz val="11"/>
        <color rgb="FF0000FF"/>
        <rFont val="Arial"/>
        <family val="2"/>
      </rPr>
      <t>)</t>
    </r>
  </si>
  <si>
    <r>
      <rPr>
        <b/>
        <sz val="11"/>
        <rFont val="Noto Sans CJK SC"/>
        <family val="2"/>
      </rPr>
      <t xml:space="preserve">죽일 각도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반응 저조</t>
    </r>
    <r>
      <rPr>
        <b/>
        <sz val="11"/>
        <rFont val="Arial"/>
        <family val="2"/>
      </rPr>
      <t>)</t>
    </r>
  </si>
  <si>
    <t>유료로 스케일할 크리에이티브</t>
  </si>
  <si>
    <t>다음 주 반복 편성</t>
  </si>
  <si>
    <r>
      <rPr>
        <i/>
        <sz val="9"/>
        <color rgb="FF666666"/>
        <rFont val="Noto Sans CJK SC"/>
        <family val="2"/>
      </rPr>
      <t>기준</t>
    </r>
    <r>
      <rPr>
        <i/>
        <sz val="9"/>
        <color rgb="FF666666"/>
        <rFont val="Arial"/>
        <family val="2"/>
      </rPr>
      <t>: CAC(</t>
    </r>
    <r>
      <rPr>
        <i/>
        <sz val="9"/>
        <color rgb="FF666666"/>
        <rFont val="Noto Sans CJK SC"/>
        <family val="2"/>
      </rPr>
      <t>유료 획득비용</t>
    </r>
    <r>
      <rPr>
        <i/>
        <sz val="9"/>
        <color rgb="FF666666"/>
        <rFont val="Arial"/>
        <family val="2"/>
      </rPr>
      <t xml:space="preserve">) &lt; </t>
    </r>
    <r>
      <rPr>
        <i/>
        <sz val="9"/>
        <color rgb="FF666666"/>
        <rFont val="Noto Sans CJK SC"/>
        <family val="2"/>
      </rPr>
      <t>리포트 마진이면 유료 확대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Noto Sans CJK SC"/>
        <family val="2"/>
      </rPr>
      <t>전환율 데이터로 유료 광고 단가 상한 역산</t>
    </r>
    <r>
      <rPr>
        <i/>
        <sz val="9"/>
        <color rgb="FF666666"/>
        <rFont val="Arial"/>
        <family val="2"/>
      </rPr>
      <t>.</t>
    </r>
  </si>
  <si>
    <t>게시함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</si>
</sst>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8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3"/>
      <name val="Noto Sans CJK SC"/>
      <family val="2"/>
    </font>
    <font>
      <i/>
      <sz val="9"/>
      <color rgb="FF666666"/>
      <name val="Noto Sans CJK SC"/>
      <family val="2"/>
    </font>
    <font>
      <i/>
      <sz val="9"/>
      <color rgb="FF666666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1"/>
      <name val="Noto Sans CJK SC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sz val="11"/>
      <color rgb="FF000000"/>
      <name val="Noto Sans CJK SC"/>
      <family val="2"/>
    </font>
    <font>
      <b/>
      <sz val="12"/>
      <name val="Noto Sans CJK SC"/>
      <family val="2"/>
    </font>
    <font>
      <b/>
      <sz val="12"/>
      <name val="Arial"/>
      <family val="2"/>
    </font>
    <font>
      <sz val="11"/>
      <color rgb="FF0000FF"/>
      <name val="Noto Sans CJK SC"/>
      <family val="2"/>
    </font>
    <font>
      <b/>
      <sz val="13"/>
      <name val="Arial"/>
      <family val="2"/>
    </font>
    <font>
      <sz val="8"/>
      <name val="돋움"/>
      <family val="3"/>
      <charset val="129"/>
    </font>
    <font>
      <sz val="11"/>
      <color rgb="FF0000FF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2E3A59"/>
        <bgColor rgb="FF333399"/>
      </patternFill>
    </fill>
    <fill>
      <patternFill patternType="solid">
        <fgColor rgb="FFDCE3F0"/>
        <bgColor rgb="FFCC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176" fontId="10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/>
    <xf numFmtId="0" fontId="8" fillId="3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0" fontId="9" fillId="0" borderId="1" xfId="0" applyFont="1" applyBorder="1" applyAlignment="1">
      <alignment horizontal="left" vertical="center" wrapText="1"/>
    </xf>
    <xf numFmtId="0" fontId="17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A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Normal="100" workbookViewId="0">
      <selection activeCell="I6" sqref="I6"/>
    </sheetView>
  </sheetViews>
  <sheetFormatPr defaultColWidth="8.6640625" defaultRowHeight="14.25"/>
  <cols>
    <col min="1" max="1" width="10" customWidth="1"/>
    <col min="2" max="2" width="12" customWidth="1"/>
    <col min="3" max="4" width="11" customWidth="1"/>
    <col min="5" max="5" width="13" customWidth="1"/>
    <col min="6" max="7" width="8" customWidth="1"/>
    <col min="8" max="8" width="12" customWidth="1"/>
    <col min="9" max="9" width="24" customWidth="1"/>
  </cols>
  <sheetData>
    <row r="1" spans="1:9" ht="16.899999999999999">
      <c r="A1" s="1" t="s">
        <v>0</v>
      </c>
    </row>
    <row r="2" spans="1:9">
      <c r="A2" s="2" t="s">
        <v>1</v>
      </c>
    </row>
    <row r="4" spans="1:9" ht="27.75">
      <c r="A4" s="3" t="s">
        <v>2</v>
      </c>
      <c r="B4" s="4" t="s">
        <v>3</v>
      </c>
      <c r="C4" s="3" t="s">
        <v>4</v>
      </c>
      <c r="D4" s="4" t="s">
        <v>5</v>
      </c>
      <c r="E4" s="4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16.899999999999999">
      <c r="A5" s="5" t="s">
        <v>11</v>
      </c>
      <c r="B5" s="6"/>
      <c r="C5" s="6"/>
      <c r="D5" s="6"/>
      <c r="E5" s="6"/>
      <c r="F5" s="6"/>
      <c r="G5" s="6"/>
      <c r="H5" s="7" t="str">
        <f t="shared" ref="H5:H12" si="0">IF(C5=0,"-",F5/C5)</f>
        <v>-</v>
      </c>
      <c r="I5" s="20" t="s">
        <v>61</v>
      </c>
    </row>
    <row r="6" spans="1:9">
      <c r="A6" s="5" t="s">
        <v>12</v>
      </c>
      <c r="B6" s="6"/>
      <c r="C6" s="6"/>
      <c r="D6" s="6"/>
      <c r="E6" s="6"/>
      <c r="F6" s="6"/>
      <c r="G6" s="6"/>
      <c r="H6" s="7" t="str">
        <f t="shared" si="0"/>
        <v>-</v>
      </c>
      <c r="I6" s="8"/>
    </row>
    <row r="7" spans="1:9">
      <c r="A7" s="5" t="s">
        <v>13</v>
      </c>
      <c r="B7" s="6"/>
      <c r="C7" s="6"/>
      <c r="D7" s="6"/>
      <c r="E7" s="6"/>
      <c r="F7" s="6"/>
      <c r="G7" s="6"/>
      <c r="H7" s="7" t="str">
        <f t="shared" si="0"/>
        <v>-</v>
      </c>
      <c r="I7" s="8"/>
    </row>
    <row r="8" spans="1:9">
      <c r="A8" s="5" t="s">
        <v>14</v>
      </c>
      <c r="B8" s="6"/>
      <c r="C8" s="6"/>
      <c r="D8" s="6"/>
      <c r="E8" s="6"/>
      <c r="F8" s="6"/>
      <c r="G8" s="6"/>
      <c r="H8" s="7" t="str">
        <f t="shared" si="0"/>
        <v>-</v>
      </c>
      <c r="I8" s="8"/>
    </row>
    <row r="9" spans="1:9">
      <c r="A9" s="5" t="s">
        <v>15</v>
      </c>
      <c r="B9" s="6"/>
      <c r="C9" s="6"/>
      <c r="D9" s="6"/>
      <c r="E9" s="6"/>
      <c r="F9" s="6"/>
      <c r="G9" s="6"/>
      <c r="H9" s="7" t="str">
        <f t="shared" si="0"/>
        <v>-</v>
      </c>
      <c r="I9" s="8"/>
    </row>
    <row r="10" spans="1:9">
      <c r="A10" s="5" t="s">
        <v>16</v>
      </c>
      <c r="B10" s="6"/>
      <c r="C10" s="6"/>
      <c r="D10" s="6"/>
      <c r="E10" s="6"/>
      <c r="F10" s="6"/>
      <c r="G10" s="6"/>
      <c r="H10" s="7" t="str">
        <f t="shared" si="0"/>
        <v>-</v>
      </c>
      <c r="I10" s="8"/>
    </row>
    <row r="11" spans="1:9">
      <c r="A11" s="5" t="s">
        <v>17</v>
      </c>
      <c r="B11" s="6"/>
      <c r="C11" s="6"/>
      <c r="D11" s="6"/>
      <c r="E11" s="6"/>
      <c r="F11" s="6"/>
      <c r="G11" s="6"/>
      <c r="H11" s="7" t="str">
        <f t="shared" si="0"/>
        <v>-</v>
      </c>
      <c r="I11" s="8"/>
    </row>
    <row r="12" spans="1:9">
      <c r="A12" s="9" t="s">
        <v>18</v>
      </c>
      <c r="B12" s="10">
        <f t="shared" ref="B12:G12" si="1">SUM(B5:B11)</f>
        <v>0</v>
      </c>
      <c r="C12" s="10">
        <f t="shared" si="1"/>
        <v>0</v>
      </c>
      <c r="D12" s="10">
        <f t="shared" si="1"/>
        <v>0</v>
      </c>
      <c r="E12" s="10">
        <f t="shared" si="1"/>
        <v>0</v>
      </c>
      <c r="F12" s="10">
        <f t="shared" si="1"/>
        <v>0</v>
      </c>
      <c r="G12" s="10">
        <f t="shared" si="1"/>
        <v>0</v>
      </c>
      <c r="H12" s="11" t="str">
        <f t="shared" si="0"/>
        <v>-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zoomScaleNormal="100" workbookViewId="0"/>
  </sheetViews>
  <sheetFormatPr defaultColWidth="8.6640625" defaultRowHeight="14.25"/>
  <cols>
    <col min="1" max="1" width="8" customWidth="1"/>
    <col min="2" max="2" width="12" customWidth="1"/>
    <col min="3" max="3" width="20" customWidth="1"/>
    <col min="4" max="4" width="9" customWidth="1"/>
    <col min="5" max="7" width="8" customWidth="1"/>
    <col min="8" max="8" width="11" customWidth="1"/>
    <col min="9" max="9" width="10" customWidth="1"/>
    <col min="10" max="11" width="9" customWidth="1"/>
  </cols>
  <sheetData>
    <row r="1" spans="1:11" ht="16.899999999999999">
      <c r="A1" s="12" t="s">
        <v>19</v>
      </c>
    </row>
    <row r="2" spans="1:11">
      <c r="A2" s="2" t="s">
        <v>20</v>
      </c>
    </row>
    <row r="4" spans="1:1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 spans="1:11">
      <c r="A5" s="13" t="s">
        <v>32</v>
      </c>
      <c r="B5" s="14" t="s">
        <v>33</v>
      </c>
      <c r="C5" s="15" t="s">
        <v>34</v>
      </c>
      <c r="D5" s="6"/>
      <c r="E5" s="6"/>
      <c r="F5" s="6"/>
      <c r="G5" s="6"/>
      <c r="H5" s="6"/>
      <c r="I5" s="6"/>
      <c r="J5" s="7" t="str">
        <f t="shared" ref="J5:J11" si="0">IF(D5=0,"-",E5/D5)</f>
        <v>-</v>
      </c>
      <c r="K5" s="7" t="str">
        <f t="shared" ref="K5:K11" si="1">IF(D5=0,"-",F5/D5)</f>
        <v>-</v>
      </c>
    </row>
    <row r="6" spans="1:11">
      <c r="A6" s="13" t="s">
        <v>35</v>
      </c>
      <c r="B6" s="14" t="s">
        <v>36</v>
      </c>
      <c r="C6" s="15" t="s">
        <v>37</v>
      </c>
      <c r="D6" s="6"/>
      <c r="E6" s="6"/>
      <c r="F6" s="6"/>
      <c r="G6" s="6"/>
      <c r="H6" s="6"/>
      <c r="I6" s="6"/>
      <c r="J6" s="7" t="str">
        <f t="shared" si="0"/>
        <v>-</v>
      </c>
      <c r="K6" s="7" t="str">
        <f t="shared" si="1"/>
        <v>-</v>
      </c>
    </row>
    <row r="7" spans="1:11">
      <c r="A7" s="13" t="s">
        <v>38</v>
      </c>
      <c r="B7" s="14" t="s">
        <v>33</v>
      </c>
      <c r="C7" s="15" t="s">
        <v>39</v>
      </c>
      <c r="D7" s="6"/>
      <c r="E7" s="6"/>
      <c r="F7" s="6"/>
      <c r="G7" s="6"/>
      <c r="H7" s="6"/>
      <c r="I7" s="6"/>
      <c r="J7" s="7" t="str">
        <f t="shared" si="0"/>
        <v>-</v>
      </c>
      <c r="K7" s="7" t="str">
        <f t="shared" si="1"/>
        <v>-</v>
      </c>
    </row>
    <row r="8" spans="1:11">
      <c r="A8" s="13" t="s">
        <v>40</v>
      </c>
      <c r="B8" s="14" t="s">
        <v>36</v>
      </c>
      <c r="C8" s="15" t="s">
        <v>41</v>
      </c>
      <c r="D8" s="6"/>
      <c r="E8" s="6"/>
      <c r="F8" s="6"/>
      <c r="G8" s="6"/>
      <c r="H8" s="6"/>
      <c r="I8" s="6"/>
      <c r="J8" s="7" t="str">
        <f t="shared" si="0"/>
        <v>-</v>
      </c>
      <c r="K8" s="7" t="str">
        <f t="shared" si="1"/>
        <v>-</v>
      </c>
    </row>
    <row r="9" spans="1:11">
      <c r="A9" s="13" t="s">
        <v>42</v>
      </c>
      <c r="B9" s="14" t="s">
        <v>33</v>
      </c>
      <c r="C9" s="15" t="s">
        <v>43</v>
      </c>
      <c r="D9" s="6"/>
      <c r="E9" s="6"/>
      <c r="F9" s="6"/>
      <c r="G9" s="6"/>
      <c r="H9" s="6"/>
      <c r="I9" s="6"/>
      <c r="J9" s="7" t="str">
        <f t="shared" si="0"/>
        <v>-</v>
      </c>
      <c r="K9" s="7" t="str">
        <f t="shared" si="1"/>
        <v>-</v>
      </c>
    </row>
    <row r="10" spans="1:11">
      <c r="A10" s="13" t="s">
        <v>44</v>
      </c>
      <c r="B10" s="14" t="s">
        <v>36</v>
      </c>
      <c r="C10" s="15" t="s">
        <v>45</v>
      </c>
      <c r="D10" s="6"/>
      <c r="E10" s="6"/>
      <c r="F10" s="6"/>
      <c r="G10" s="6"/>
      <c r="H10" s="6"/>
      <c r="I10" s="6"/>
      <c r="J10" s="7" t="str">
        <f t="shared" si="0"/>
        <v>-</v>
      </c>
      <c r="K10" s="7" t="str">
        <f t="shared" si="1"/>
        <v>-</v>
      </c>
    </row>
    <row r="11" spans="1:11">
      <c r="A11" s="13" t="s">
        <v>46</v>
      </c>
      <c r="B11" s="14" t="s">
        <v>47</v>
      </c>
      <c r="C11" s="16" t="s">
        <v>48</v>
      </c>
      <c r="D11" s="6"/>
      <c r="E11" s="6"/>
      <c r="F11" s="6"/>
      <c r="G11" s="6"/>
      <c r="H11" s="6"/>
      <c r="I11" s="6"/>
      <c r="J11" s="7" t="str">
        <f t="shared" si="0"/>
        <v>-</v>
      </c>
      <c r="K11" s="7" t="str">
        <f t="shared" si="1"/>
        <v>-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zoomScaleNormal="100" workbookViewId="0"/>
  </sheetViews>
  <sheetFormatPr defaultColWidth="8.6640625" defaultRowHeight="14.25"/>
  <cols>
    <col min="1" max="1" width="30" customWidth="1"/>
    <col min="2" max="2" width="45" customWidth="1"/>
  </cols>
  <sheetData>
    <row r="1" spans="1:2" ht="16.899999999999999">
      <c r="A1" s="1" t="s">
        <v>49</v>
      </c>
    </row>
    <row r="3" spans="1:2">
      <c r="A3" s="9" t="s">
        <v>50</v>
      </c>
      <c r="B3" s="13">
        <f>'일별 퍼널'!B12</f>
        <v>0</v>
      </c>
    </row>
    <row r="4" spans="1:2">
      <c r="A4" s="9" t="s">
        <v>51</v>
      </c>
      <c r="B4" s="13">
        <f>'일별 퍼널'!C12</f>
        <v>0</v>
      </c>
    </row>
    <row r="5" spans="1:2">
      <c r="A5" s="9" t="s">
        <v>52</v>
      </c>
      <c r="B5" s="13">
        <f>'일별 퍼널'!F12</f>
        <v>0</v>
      </c>
    </row>
    <row r="6" spans="1:2">
      <c r="A6" s="9" t="s">
        <v>53</v>
      </c>
      <c r="B6" s="17" t="str">
        <f>IF('일별 퍼널'!C12=0,"-",'일별 퍼널'!F12/'일별 퍼널'!C12)</f>
        <v>-</v>
      </c>
    </row>
    <row r="8" spans="1:2" ht="15.4">
      <c r="A8" s="18" t="s">
        <v>54</v>
      </c>
    </row>
    <row r="9" spans="1:2">
      <c r="A9" s="9" t="s">
        <v>55</v>
      </c>
      <c r="B9" s="19" t="s">
        <v>56</v>
      </c>
    </row>
    <row r="10" spans="1:2">
      <c r="A10" s="9" t="s">
        <v>57</v>
      </c>
      <c r="B10" s="19"/>
    </row>
    <row r="11" spans="1:2">
      <c r="A11" s="9" t="s">
        <v>58</v>
      </c>
      <c r="B11" s="19"/>
    </row>
    <row r="12" spans="1:2">
      <c r="A12" s="9" t="s">
        <v>59</v>
      </c>
      <c r="B12" s="19"/>
    </row>
    <row r="14" spans="1:2">
      <c r="A14" s="2" t="s">
        <v>60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일별 퍼널</vt:lpstr>
      <vt:lpstr>게시물별 반응</vt:lpstr>
      <vt:lpstr>7일 판정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성진 박</cp:lastModifiedBy>
  <cp:revision>0</cp:revision>
  <dcterms:created xsi:type="dcterms:W3CDTF">2026-07-06T09:43:53Z</dcterms:created>
  <dcterms:modified xsi:type="dcterms:W3CDTF">2026-07-07T01:43:33Z</dcterms:modified>
  <dc:language>en-US</dc:language>
</cp:coreProperties>
</file>